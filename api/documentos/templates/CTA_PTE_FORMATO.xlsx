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CTA PORTE\OSCAR ZUÑIGA\"/>
    </mc:Choice>
  </mc:AlternateContent>
  <xr:revisionPtr revIDLastSave="0" documentId="13_ncr:1_{B2453CBA-A2A5-4465-9BFF-D473117D87BB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BITACORA DE SUEÑO" sheetId="1" r:id="rId1"/>
    <sheet name="CTA PORT FRABA CONTAINER" sheetId="2" r:id="rId2"/>
    <sheet name="BITACORA GASTOS" sheetId="3" r:id="rId3"/>
  </sheets>
  <definedNames>
    <definedName name="_xlnm.Print_Area" localSheetId="1">'CTA PORT FRABA CONTAINER'!$A$1:$J$41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D33" i="1"/>
  <c r="C23" i="2" s="1"/>
  <c r="B3" i="3" s="1"/>
  <c r="F23" i="2"/>
  <c r="I2" i="3" s="1"/>
  <c r="B2" i="3"/>
  <c r="B4" i="3"/>
</calcChain>
</file>

<file path=xl/sharedStrings.xml><?xml version="1.0" encoding="utf-8"?>
<sst xmlns="http://schemas.openxmlformats.org/spreadsheetml/2006/main" count="132" uniqueCount="124">
  <si>
    <t>AMANCER</t>
  </si>
  <si>
    <t>MAÑANA</t>
  </si>
  <si>
    <t>TARDE</t>
  </si>
  <si>
    <t>NOCHE</t>
  </si>
  <si>
    <t>CONDUCCION</t>
  </si>
  <si>
    <t>lllllllllllllllllllllllllllllllllllllllllllllllllllllllllllllllllllllllllllllllllllllllllllllllllllllllllllllllllllllllllllllllllllllllllllllllllllllllllllllllll</t>
  </si>
  <si>
    <t xml:space="preserve">SERVICIOS </t>
  </si>
  <si>
    <t>ALIMENTACION</t>
  </si>
  <si>
    <t>DORMIR</t>
  </si>
  <si>
    <t>CARGA</t>
  </si>
  <si>
    <t>DESCARGA</t>
  </si>
  <si>
    <t>FUERA DE S.</t>
  </si>
  <si>
    <t>HORAS EN DESC</t>
  </si>
  <si>
    <t>HORAS EN CARGA</t>
  </si>
  <si>
    <t>REPARACION</t>
  </si>
  <si>
    <t>llllllllllllllllllllllllllllllllllllllllllllllllllllllllllllllllllllllllllllllllllllllllllllllllllllllllllllllllllllllllllllllllllllllllllllllllllllllllllllllll</t>
  </si>
  <si>
    <t>DOCUMENTO DE ENVIO</t>
  </si>
  <si>
    <t>V BO.</t>
  </si>
  <si>
    <t xml:space="preserve">                ________________________________________________</t>
  </si>
  <si>
    <t>_________________________________________</t>
  </si>
  <si>
    <t>REMISION</t>
  </si>
  <si>
    <t xml:space="preserve">LUGAR Y FECHA DE EXPEDICIÓN                </t>
  </si>
  <si>
    <t>ORIGEN:</t>
  </si>
  <si>
    <t>REMITENTE:</t>
  </si>
  <si>
    <t>DOMICILIO:</t>
  </si>
  <si>
    <t>BULTOS</t>
  </si>
  <si>
    <t>QUE DICE QUE CONTIENEN</t>
  </si>
  <si>
    <t>PESO</t>
  </si>
  <si>
    <t>CONCEPTO</t>
  </si>
  <si>
    <t>IMPORTE</t>
  </si>
  <si>
    <t>CANTIDAD</t>
  </si>
  <si>
    <t>TIPO</t>
  </si>
  <si>
    <t>M3</t>
  </si>
  <si>
    <t>P.ESTIMADO</t>
  </si>
  <si>
    <t>FLETE</t>
  </si>
  <si>
    <t>SEGURO</t>
  </si>
  <si>
    <t>RECOLECCION</t>
  </si>
  <si>
    <t>MANIOBRAS</t>
  </si>
  <si>
    <t>AUTOPISTAS</t>
  </si>
  <si>
    <t>DEMORAS</t>
  </si>
  <si>
    <t>LIB.Y TRASLADOS</t>
  </si>
  <si>
    <t>OTROS</t>
  </si>
  <si>
    <t>REEMBARCO:</t>
  </si>
  <si>
    <t>REEMBARCARSE CON:</t>
  </si>
  <si>
    <t>CONDUCTOR:</t>
  </si>
  <si>
    <t>PLACAS:</t>
  </si>
  <si>
    <t>SUB-TOTAL</t>
  </si>
  <si>
    <t>OBSERVACIONES</t>
  </si>
  <si>
    <t>* MERCANCIA VIAJA POR CUENTA Y RIESGO DEL CLIENTE *</t>
  </si>
  <si>
    <t>16% I.V.A.</t>
  </si>
  <si>
    <t>IMPORTE CON LETRA</t>
  </si>
  <si>
    <t>4% RET.I.V.A.</t>
  </si>
  <si>
    <t>UN PESO CON 12/100 M.N.</t>
  </si>
  <si>
    <t>TOTAL $</t>
  </si>
  <si>
    <t>METODO DE PAGO:</t>
  </si>
  <si>
    <t>RECIBI DE CONFORMIDAD</t>
  </si>
  <si>
    <t>HORA DE ENTREGA</t>
  </si>
  <si>
    <t>N°. DE CUENTA:</t>
  </si>
  <si>
    <t>AGENTE</t>
  </si>
  <si>
    <t>FIRMA DEL DESTINATARIO</t>
  </si>
  <si>
    <t>DOCUMENTO</t>
  </si>
  <si>
    <t>DE $_________________________ (________________________________________________________________________________________________________________________________________)</t>
  </si>
  <si>
    <t>VALOR DE LO ARRIBA DESCRITO RECIBIDO A MI ENTERA SATISFACCION. ESTE PAGARE ES MERCANTIL Y ESTA REGIDO POR LA LEY GENERAL DE TITULO Y OPERACIONES DE CREDITO EN SU ARTICULO 173</t>
  </si>
  <si>
    <t>PARTE FINAL. POR NO SER PAGARE DOMICILIADO Y ARTICULOS CORRELATIVOS DE NO SER PAGADO A SU VENCIMIENTO CAUSARA INTERESES MORATORIOS AL ___________% MENSUAL.</t>
  </si>
  <si>
    <t>BITACORA DE GASTOS DE VIAJE</t>
  </si>
  <si>
    <t>FECHA</t>
  </si>
  <si>
    <t>UNIDAD</t>
  </si>
  <si>
    <t>NOMBRE</t>
  </si>
  <si>
    <t>DESTINO</t>
  </si>
  <si>
    <t>COMBUSTIBLE</t>
  </si>
  <si>
    <t>CASETAS</t>
  </si>
  <si>
    <t>OTROS GASTOS</t>
  </si>
  <si>
    <t>LITROS</t>
  </si>
  <si>
    <t>LUGAR</t>
  </si>
  <si>
    <t>TOTAL DE GTOS. DE COMBUSTIBLE</t>
  </si>
  <si>
    <t>TOTAL GTOS. CASETAS</t>
  </si>
  <si>
    <t>TOTAL OTROS GTOS.</t>
  </si>
  <si>
    <t xml:space="preserve">                                                    CP. 28978 NO DE TEL. 3141632520</t>
  </si>
  <si>
    <t xml:space="preserve">                                  BITACORA DE HORAS DE SERVICIO </t>
  </si>
  <si>
    <t xml:space="preserve">                                       </t>
  </si>
  <si>
    <t>FCO180912E15</t>
  </si>
  <si>
    <t xml:space="preserve">    FRABA CONTAINER S. DE R. L. DE C. V.</t>
  </si>
  <si>
    <t>FRABA CONTAINER S. DE R. L. DE C.V.</t>
  </si>
  <si>
    <r>
      <t xml:space="preserve">DEBO Y PAGARE INCONDICIONALMENTE A LA ORDEN DE FRABA CONTAINER S. DE R.L. DE C.V. EN ESTA CIUDAD O EN CUALQUIER OTRA, EL DIA_______DE_____________DEL 20_____ LA </t>
    </r>
    <r>
      <rPr>
        <sz val="6"/>
        <rFont val="Calibri"/>
        <family val="2"/>
        <charset val="1"/>
      </rPr>
      <t>CANTIDAD</t>
    </r>
  </si>
  <si>
    <t>DESTINO:</t>
  </si>
  <si>
    <t>COLIMA, COLIMA</t>
  </si>
  <si>
    <t>RFC</t>
  </si>
  <si>
    <t>MERCANCÍA DECLARADA EN PEDIMENTO</t>
  </si>
  <si>
    <t>SALIDA________</t>
  </si>
  <si>
    <t>KM_____________</t>
  </si>
  <si>
    <t>MOISES FRANCO G</t>
  </si>
  <si>
    <t xml:space="preserve">IMPORTACION </t>
  </si>
  <si>
    <t>IMPORTACIÓN</t>
  </si>
  <si>
    <t>FRABA CONTAINER S DE RL DE CV</t>
  </si>
  <si>
    <t>SYDNEY 28</t>
  </si>
  <si>
    <t>RDCIAL. REAL SANTA FE</t>
  </si>
  <si>
    <t>VILLA DE ALVAREZ COLIMA 28978</t>
  </si>
  <si>
    <t>CALLE SYDNEY # 28 COLONIA REAL SANTA FE,  VILLA DE ALVAREZ, COLIMA C.P. 28978</t>
  </si>
  <si>
    <t xml:space="preserve">                                                     CALLE SYDNEY #28 COLONIA: REAL SANTA FE, CIUDAD DE VILLA DE ALVAREZ </t>
  </si>
  <si>
    <t xml:space="preserve">TOTAL DE GASTOS </t>
  </si>
  <si>
    <t xml:space="preserve">DESCRIPCION: </t>
  </si>
  <si>
    <t>KM INICIAL</t>
  </si>
  <si>
    <t>KM  FINAL</t>
  </si>
  <si>
    <t>KM RECORRIDOS</t>
  </si>
  <si>
    <t>DIESEL VIAJE</t>
  </si>
  <si>
    <t>DIESEL CIERRE (RELLENO)</t>
  </si>
  <si>
    <t>MODALIDAD F O S</t>
  </si>
  <si>
    <t>LITROS CONSUMIDOS</t>
  </si>
  <si>
    <t>RENDIMIENTO</t>
  </si>
  <si>
    <t>ESTACION DE CARGA</t>
  </si>
  <si>
    <t>TARA 1</t>
  </si>
  <si>
    <t>TARA 2</t>
  </si>
  <si>
    <t xml:space="preserve">                   PLACA__</t>
  </si>
  <si>
    <t xml:space="preserve">                    NOMBRE DEL OPERADOR_________________</t>
  </si>
  <si>
    <t>MEXICO</t>
  </si>
  <si>
    <t>TIPO DE UNIDAD___</t>
  </si>
  <si>
    <t>MODELO___</t>
  </si>
  <si>
    <t xml:space="preserve">                   FECHA DE SALIDA_</t>
  </si>
  <si>
    <t xml:space="preserve">                   VEHICULO NO.__ </t>
  </si>
  <si>
    <t xml:space="preserve">CONTROL INTERNO _____CTA PORTE </t>
  </si>
  <si>
    <t>88BK5H / 31US5W , 43UY2G</t>
  </si>
  <si>
    <t xml:space="preserve">                   ORIGEN DEL VIAJE__</t>
  </si>
  <si>
    <t>DESTINO DEL VIAJE__</t>
  </si>
  <si>
    <t>FECHA DE LLEGADA__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</si>
</sst>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hh:mm\ AM/PM"/>
    <numFmt numFmtId="165" formatCode="#,##0\ &quot;KG&quot;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24"/>
      <color rgb="FF000000"/>
      <name val="Calibri"/>
      <family val="2"/>
    </font>
    <font>
      <sz val="14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6"/>
      <color rgb="FF000000"/>
      <name val="Calibri"/>
      <family val="2"/>
      <charset val="1"/>
    </font>
    <font>
      <sz val="11"/>
      <name val="Calibri"/>
      <family val="2"/>
      <charset val="1"/>
    </font>
    <font>
      <sz val="18"/>
      <name val="Calibri"/>
      <family val="2"/>
      <charset val="1"/>
    </font>
    <font>
      <sz val="10"/>
      <name val="Calibri"/>
      <family val="2"/>
      <charset val="1"/>
    </font>
    <font>
      <sz val="9"/>
      <name val="Calibri"/>
      <family val="2"/>
      <charset val="1"/>
    </font>
    <font>
      <sz val="8"/>
      <name val="Calibri"/>
      <family val="2"/>
      <charset val="1"/>
    </font>
    <font>
      <b/>
      <sz val="11"/>
      <name val="Calibri"/>
      <family val="2"/>
    </font>
    <font>
      <sz val="12"/>
      <name val="Calibri"/>
      <family val="2"/>
      <charset val="1"/>
    </font>
    <font>
      <sz val="5"/>
      <name val="Calibri"/>
      <family val="2"/>
      <charset val="1"/>
    </font>
    <font>
      <sz val="6"/>
      <name val="Calibri"/>
      <family val="2"/>
      <charset val="1"/>
    </font>
    <font>
      <b/>
      <sz val="6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Docs-Calibri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5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4" fontId="21" fillId="0" borderId="0" applyFont="0" applyFill="0" applyBorder="0" applyAlignment="0" applyProtection="0"/>
  </cellStyleXfs>
  <cellXfs count="168">
    <xf numFmtId="0" fontId="0" fillId="0" borderId="0" xfId="0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0" xfId="1"/>
    <xf numFmtId="0" fontId="3" fillId="0" borderId="0" xfId="1" applyFont="1"/>
    <xf numFmtId="0" fontId="2" fillId="0" borderId="5" xfId="1" applyBorder="1"/>
    <xf numFmtId="0" fontId="4" fillId="0" borderId="0" xfId="1" applyFont="1"/>
    <xf numFmtId="0" fontId="5" fillId="0" borderId="4" xfId="1" applyFont="1" applyBorder="1"/>
    <xf numFmtId="0" fontId="5" fillId="0" borderId="0" xfId="1" applyFont="1"/>
    <xf numFmtId="0" fontId="5" fillId="0" borderId="5" xfId="1" applyFont="1" applyBorder="1"/>
    <xf numFmtId="0" fontId="6" fillId="0" borderId="4" xfId="1" applyFont="1" applyBorder="1"/>
    <xf numFmtId="0" fontId="6" fillId="0" borderId="0" xfId="1" applyFont="1"/>
    <xf numFmtId="0" fontId="6" fillId="0" borderId="0" xfId="1" applyFont="1" applyAlignment="1">
      <alignment horizontal="left"/>
    </xf>
    <xf numFmtId="0" fontId="6" fillId="0" borderId="5" xfId="1" applyFont="1" applyBorder="1"/>
    <xf numFmtId="0" fontId="2" fillId="0" borderId="6" xfId="1" applyBorder="1"/>
    <xf numFmtId="0" fontId="2" fillId="0" borderId="7" xfId="1" applyBorder="1"/>
    <xf numFmtId="0" fontId="2" fillId="0" borderId="8" xfId="1" applyBorder="1"/>
    <xf numFmtId="0" fontId="2" fillId="0" borderId="9" xfId="1" applyBorder="1"/>
    <xf numFmtId="0" fontId="7" fillId="2" borderId="11" xfId="1" applyFont="1" applyFill="1" applyBorder="1" applyAlignment="1">
      <alignment horizontal="center"/>
    </xf>
    <xf numFmtId="0" fontId="7" fillId="0" borderId="0" xfId="1" applyFont="1"/>
    <xf numFmtId="0" fontId="9" fillId="0" borderId="0" xfId="1" applyFont="1"/>
    <xf numFmtId="0" fontId="7" fillId="0" borderId="14" xfId="1" applyFont="1" applyBorder="1"/>
    <xf numFmtId="0" fontId="7" fillId="0" borderId="14" xfId="1" applyFont="1" applyBorder="1" applyAlignment="1">
      <alignment horizontal="right"/>
    </xf>
    <xf numFmtId="0" fontId="7" fillId="0" borderId="15" xfId="1" applyFont="1" applyBorder="1"/>
    <xf numFmtId="0" fontId="7" fillId="0" borderId="16" xfId="1" applyFont="1" applyBorder="1"/>
    <xf numFmtId="0" fontId="7" fillId="0" borderId="17" xfId="1" applyFont="1" applyBorder="1"/>
    <xf numFmtId="0" fontId="7" fillId="0" borderId="9" xfId="1" applyFont="1" applyBorder="1"/>
    <xf numFmtId="0" fontId="7" fillId="0" borderId="18" xfId="1" applyFont="1" applyBorder="1"/>
    <xf numFmtId="0" fontId="7" fillId="0" borderId="8" xfId="1" applyFont="1" applyBorder="1"/>
    <xf numFmtId="0" fontId="7" fillId="0" borderId="0" xfId="0" applyFont="1"/>
    <xf numFmtId="0" fontId="7" fillId="0" borderId="19" xfId="1" applyFont="1" applyBorder="1"/>
    <xf numFmtId="0" fontId="7" fillId="0" borderId="20" xfId="1" applyFont="1" applyBorder="1" applyAlignment="1">
      <alignment vertical="center"/>
    </xf>
    <xf numFmtId="0" fontId="7" fillId="0" borderId="20" xfId="1" applyFont="1" applyBorder="1" applyAlignment="1">
      <alignment horizontal="center" vertical="center"/>
    </xf>
    <xf numFmtId="0" fontId="11" fillId="0" borderId="20" xfId="1" applyFont="1" applyBorder="1"/>
    <xf numFmtId="0" fontId="7" fillId="0" borderId="11" xfId="1" applyFont="1" applyBorder="1"/>
    <xf numFmtId="0" fontId="7" fillId="0" borderId="21" xfId="1" applyFont="1" applyBorder="1"/>
    <xf numFmtId="0" fontId="7" fillId="0" borderId="22" xfId="1" applyFont="1" applyBorder="1"/>
    <xf numFmtId="0" fontId="7" fillId="0" borderId="23" xfId="1" applyFont="1" applyBorder="1"/>
    <xf numFmtId="0" fontId="7" fillId="0" borderId="24" xfId="1" applyFont="1" applyBorder="1"/>
    <xf numFmtId="2" fontId="7" fillId="0" borderId="24" xfId="1" applyNumberFormat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9" fillId="0" borderId="25" xfId="1" applyFont="1" applyBorder="1" applyAlignment="1">
      <alignment horizontal="center"/>
    </xf>
    <xf numFmtId="0" fontId="9" fillId="0" borderId="19" xfId="1" applyFont="1" applyBorder="1"/>
    <xf numFmtId="0" fontId="7" fillId="0" borderId="10" xfId="1" applyFont="1" applyBorder="1"/>
    <xf numFmtId="3" fontId="7" fillId="0" borderId="25" xfId="1" applyNumberFormat="1" applyFont="1" applyBorder="1" applyAlignment="1">
      <alignment horizontal="center"/>
    </xf>
    <xf numFmtId="2" fontId="7" fillId="0" borderId="25" xfId="1" applyNumberFormat="1" applyFont="1" applyBorder="1" applyAlignment="1">
      <alignment horizontal="center"/>
    </xf>
    <xf numFmtId="0" fontId="7" fillId="0" borderId="26" xfId="1" applyFont="1" applyBorder="1"/>
    <xf numFmtId="0" fontId="7" fillId="0" borderId="25" xfId="1" applyFont="1" applyBorder="1" applyAlignment="1">
      <alignment horizontal="center" vertical="center"/>
    </xf>
    <xf numFmtId="0" fontId="7" fillId="0" borderId="25" xfId="1" applyFont="1" applyBorder="1"/>
    <xf numFmtId="0" fontId="12" fillId="0" borderId="19" xfId="1" applyFont="1" applyBorder="1"/>
    <xf numFmtId="0" fontId="11" fillId="0" borderId="26" xfId="1" applyFont="1" applyBorder="1"/>
    <xf numFmtId="0" fontId="7" fillId="0" borderId="27" xfId="1" applyFont="1" applyBorder="1"/>
    <xf numFmtId="0" fontId="13" fillId="0" borderId="8" xfId="1" applyFont="1" applyBorder="1" applyAlignment="1">
      <alignment horizontal="center"/>
    </xf>
    <xf numFmtId="0" fontId="7" fillId="0" borderId="28" xfId="1" applyFont="1" applyBorder="1"/>
    <xf numFmtId="0" fontId="7" fillId="2" borderId="0" xfId="1" applyFont="1" applyFill="1"/>
    <xf numFmtId="2" fontId="7" fillId="0" borderId="26" xfId="1" applyNumberFormat="1" applyFont="1" applyBorder="1" applyAlignment="1">
      <alignment horizontal="center"/>
    </xf>
    <xf numFmtId="0" fontId="7" fillId="0" borderId="29" xfId="1" applyFont="1" applyBorder="1"/>
    <xf numFmtId="0" fontId="7" fillId="0" borderId="30" xfId="1" applyFont="1" applyBorder="1"/>
    <xf numFmtId="0" fontId="7" fillId="0" borderId="31" xfId="1" applyFont="1" applyBorder="1"/>
    <xf numFmtId="0" fontId="7" fillId="0" borderId="33" xfId="1" applyFont="1" applyBorder="1"/>
    <xf numFmtId="0" fontId="10" fillId="0" borderId="35" xfId="1" applyFont="1" applyBorder="1" applyAlignment="1">
      <alignment horizontal="center"/>
    </xf>
    <xf numFmtId="0" fontId="7" fillId="0" borderId="4" xfId="1" applyFont="1" applyBorder="1"/>
    <xf numFmtId="0" fontId="7" fillId="0" borderId="5" xfId="1" applyFont="1" applyBorder="1"/>
    <xf numFmtId="164" fontId="7" fillId="0" borderId="36" xfId="1" applyNumberFormat="1" applyFont="1" applyBorder="1" applyAlignment="1">
      <alignment horizontal="center"/>
    </xf>
    <xf numFmtId="0" fontId="7" fillId="0" borderId="36" xfId="1" applyFont="1" applyBorder="1"/>
    <xf numFmtId="0" fontId="7" fillId="0" borderId="36" xfId="1" applyFont="1" applyBorder="1" applyAlignment="1">
      <alignment horizontal="center"/>
    </xf>
    <xf numFmtId="0" fontId="14" fillId="0" borderId="1" xfId="1" applyFont="1" applyBorder="1"/>
    <xf numFmtId="0" fontId="7" fillId="0" borderId="2" xfId="1" applyFont="1" applyBorder="1"/>
    <xf numFmtId="0" fontId="7" fillId="0" borderId="3" xfId="1" applyFont="1" applyBorder="1"/>
    <xf numFmtId="0" fontId="14" fillId="0" borderId="4" xfId="1" applyFont="1" applyBorder="1"/>
    <xf numFmtId="0" fontId="14" fillId="0" borderId="7" xfId="1" applyFont="1" applyBorder="1"/>
    <xf numFmtId="0" fontId="16" fillId="0" borderId="40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18" fillId="0" borderId="4" xfId="1" applyFont="1" applyBorder="1"/>
    <xf numFmtId="4" fontId="7" fillId="0" borderId="25" xfId="1" applyNumberFormat="1" applyFont="1" applyBorder="1" applyAlignment="1">
      <alignment horizontal="center" vertical="center"/>
    </xf>
    <xf numFmtId="0" fontId="11" fillId="0" borderId="0" xfId="1" applyFont="1"/>
    <xf numFmtId="0" fontId="19" fillId="0" borderId="0" xfId="1" applyFont="1"/>
    <xf numFmtId="1" fontId="7" fillId="0" borderId="0" xfId="1" applyNumberFormat="1" applyFont="1"/>
    <xf numFmtId="0" fontId="10" fillId="0" borderId="13" xfId="1" applyFont="1" applyBorder="1" applyAlignment="1">
      <alignment horizontal="left"/>
    </xf>
    <xf numFmtId="0" fontId="2" fillId="0" borderId="8" xfId="1" applyBorder="1" applyAlignment="1">
      <alignment horizontal="left"/>
    </xf>
    <xf numFmtId="18" fontId="7" fillId="0" borderId="0" xfId="1" applyNumberFormat="1" applyFont="1"/>
    <xf numFmtId="0" fontId="20" fillId="0" borderId="0" xfId="1" applyFont="1"/>
    <xf numFmtId="0" fontId="12" fillId="0" borderId="0" xfId="1" applyFont="1"/>
    <xf numFmtId="0" fontId="7" fillId="0" borderId="0" xfId="1" applyFont="1" applyAlignment="1">
      <alignment horizontal="center" vertical="center"/>
    </xf>
    <xf numFmtId="0" fontId="22" fillId="0" borderId="0" xfId="1" applyFont="1"/>
    <xf numFmtId="0" fontId="0" fillId="0" borderId="0" xfId="0" applyAlignment="1">
      <alignment horizontal="left"/>
    </xf>
    <xf numFmtId="0" fontId="23" fillId="0" borderId="0" xfId="1" applyFont="1"/>
    <xf numFmtId="0" fontId="7" fillId="0" borderId="14" xfId="1" applyFont="1" applyBorder="1" applyAlignment="1">
      <alignment horizontal="center"/>
    </xf>
    <xf numFmtId="0" fontId="24" fillId="0" borderId="0" xfId="0" applyFont="1"/>
    <xf numFmtId="0" fontId="12" fillId="0" borderId="6" xfId="1" applyFont="1" applyBorder="1"/>
    <xf numFmtId="0" fontId="7" fillId="0" borderId="20" xfId="1" applyFont="1" applyBorder="1"/>
    <xf numFmtId="0" fontId="7" fillId="0" borderId="6" xfId="1" applyFont="1" applyBorder="1"/>
    <xf numFmtId="0" fontId="7" fillId="0" borderId="39" xfId="1" applyFont="1" applyBorder="1"/>
    <xf numFmtId="0" fontId="12" fillId="0" borderId="57" xfId="1" applyFont="1" applyBorder="1"/>
    <xf numFmtId="0" fontId="7" fillId="0" borderId="58" xfId="1" applyFont="1" applyBorder="1"/>
    <xf numFmtId="165" fontId="7" fillId="0" borderId="25" xfId="1" applyNumberFormat="1" applyFont="1" applyBorder="1" applyAlignment="1">
      <alignment horizontal="center" vertical="center"/>
    </xf>
    <xf numFmtId="165" fontId="7" fillId="0" borderId="25" xfId="1" applyNumberFormat="1" applyFont="1" applyBorder="1"/>
    <xf numFmtId="0" fontId="26" fillId="0" borderId="0" xfId="0" applyFont="1"/>
    <xf numFmtId="14" fontId="2" fillId="0" borderId="0" xfId="1" applyNumberFormat="1" applyAlignment="1">
      <alignment horizontal="center" vertical="center"/>
    </xf>
    <xf numFmtId="14" fontId="2" fillId="0" borderId="0" xfId="1" applyNumberFormat="1" applyAlignment="1">
      <alignment horizontal="center"/>
    </xf>
    <xf numFmtId="0" fontId="7" fillId="0" borderId="0" xfId="1" applyFont="1" applyAlignment="1">
      <alignment horizontal="center"/>
    </xf>
    <xf numFmtId="0" fontId="8" fillId="0" borderId="10" xfId="1" applyFont="1" applyBorder="1" applyAlignment="1">
      <alignment horizontal="center"/>
    </xf>
    <xf numFmtId="0" fontId="7" fillId="0" borderId="12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/>
    </xf>
    <xf numFmtId="0" fontId="7" fillId="0" borderId="20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11" fillId="0" borderId="34" xfId="1" applyFont="1" applyBorder="1" applyAlignment="1">
      <alignment horizontal="center" vertical="top"/>
    </xf>
    <xf numFmtId="0" fontId="7" fillId="0" borderId="37" xfId="1" applyFont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7" fillId="0" borderId="39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6" fontId="0" fillId="0" borderId="2" xfId="2" applyNumberFormat="1" applyFont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44" fontId="0" fillId="0" borderId="44" xfId="2" applyFont="1" applyBorder="1" applyAlignment="1">
      <alignment horizontal="left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14" fontId="0" fillId="0" borderId="42" xfId="0" applyNumberForma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0" xfId="0" applyBorder="1" applyAlignment="1">
      <alignment vertical="center"/>
    </xf>
    <xf numFmtId="165" fontId="0" fillId="0" borderId="17" xfId="0" applyNumberFormat="1" applyBorder="1" applyAlignment="1">
      <alignment horizontal="left" vertical="center"/>
    </xf>
    <xf numFmtId="165" fontId="0" fillId="0" borderId="43" xfId="0" applyNumberForma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85725</xdr:rowOff>
    </xdr:from>
    <xdr:to>
      <xdr:col>1</xdr:col>
      <xdr:colOff>247649</xdr:colOff>
      <xdr:row>4</xdr:row>
      <xdr:rowOff>123824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8523" t="25654" r="18438" b="32153"/>
        <a:stretch/>
      </xdr:blipFill>
      <xdr:spPr>
        <a:xfrm>
          <a:off x="9525" y="190500"/>
          <a:ext cx="1333499" cy="819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12915</xdr:rowOff>
    </xdr:from>
    <xdr:to>
      <xdr:col>1</xdr:col>
      <xdr:colOff>92175</xdr:colOff>
      <xdr:row>30</xdr:row>
      <xdr:rowOff>28575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470615"/>
          <a:ext cx="1206600" cy="113008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104775</xdr:rowOff>
    </xdr:to>
    <xdr:sp macro="" textlink="">
      <xdr:nvSpPr>
        <xdr:cNvPr id="1028" name="AutoShape 4" descr="blob:https://web.whatsapp.com/0d72b84d-a7a9-4df8-97ba-d24c9449b709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93345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1029" name="AutoShape 5" descr="blob:https://web.whatsapp.com/0d72b84d-a7a9-4df8-97ba-d24c9449b709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9334500" y="8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1031" name="AutoShape 7" descr="blob:https://web.whatsapp.com/0d72b84d-a7a9-4df8-97ba-d24c9449b70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1032" name="AutoShape 8" descr="blob:https://web.whatsapp.com/0d72b84d-a7a9-4df8-97ba-d24c9449b709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9525</xdr:colOff>
      <xdr:row>0</xdr:row>
      <xdr:rowOff>38101</xdr:rowOff>
    </xdr:from>
    <xdr:to>
      <xdr:col>1</xdr:col>
      <xdr:colOff>228599</xdr:colOff>
      <xdr:row>3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8523" t="25654" r="18438" b="32153"/>
        <a:stretch/>
      </xdr:blipFill>
      <xdr:spPr>
        <a:xfrm>
          <a:off x="9525" y="38101"/>
          <a:ext cx="1333499" cy="819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4"/>
  <sheetViews>
    <sheetView workbookViewId="0">
      <selection activeCell="B11" sqref="B11"/>
    </sheetView>
  </sheetViews>
  <sheetFormatPr defaultColWidth="11.42578125" defaultRowHeight="15"/>
  <cols>
    <col min="1" max="1" width="16.42578125" style="4" customWidth="1"/>
    <col min="2" max="2" width="3.85546875" style="5" customWidth="1"/>
    <col min="3" max="3" width="3.42578125" style="5" customWidth="1"/>
    <col min="4" max="4" width="2.7109375" style="5" customWidth="1"/>
    <col min="5" max="5" width="3" style="5" customWidth="1"/>
    <col min="6" max="6" width="3.140625" style="5" customWidth="1"/>
    <col min="7" max="7" width="2.42578125" style="5" customWidth="1"/>
    <col min="8" max="8" width="3.140625" style="5" customWidth="1"/>
    <col min="9" max="9" width="3.28515625" style="5" customWidth="1"/>
    <col min="10" max="10" width="3.140625" style="5" customWidth="1"/>
    <col min="11" max="11" width="3.7109375" style="5" customWidth="1"/>
    <col min="12" max="12" width="3.42578125" style="5" customWidth="1"/>
    <col min="13" max="13" width="4.140625" style="5" customWidth="1"/>
    <col min="14" max="14" width="3.7109375" style="5" customWidth="1"/>
    <col min="15" max="15" width="4.140625" style="5" customWidth="1"/>
    <col min="16" max="16" width="4.28515625" style="5" customWidth="1"/>
    <col min="17" max="17" width="2.85546875" style="5" customWidth="1"/>
    <col min="18" max="19" width="3.28515625" style="5" customWidth="1"/>
    <col min="20" max="20" width="3.85546875" style="5" customWidth="1"/>
    <col min="21" max="21" width="3.42578125" style="5" customWidth="1"/>
    <col min="22" max="22" width="4.42578125" style="5" customWidth="1"/>
    <col min="23" max="23" width="4.28515625" style="5" customWidth="1"/>
    <col min="24" max="24" width="5.28515625" style="5" customWidth="1"/>
    <col min="25" max="25" width="4" style="5" customWidth="1"/>
    <col min="26" max="27" width="5" style="5" customWidth="1"/>
    <col min="28" max="28" width="10.42578125" style="7" customWidth="1"/>
    <col min="29" max="16384" width="11.42578125" style="5"/>
  </cols>
  <sheetData>
    <row r="1" spans="1:28" s="2" customFormat="1" ht="8.25" customHeight="1">
      <c r="A1" s="1"/>
      <c r="AB1" s="3"/>
    </row>
    <row r="2" spans="1:28" ht="31.5">
      <c r="C2" s="6" t="s">
        <v>81</v>
      </c>
    </row>
    <row r="3" spans="1:28">
      <c r="A3" s="4" t="s">
        <v>98</v>
      </c>
    </row>
    <row r="4" spans="1:28">
      <c r="B4" s="5" t="s">
        <v>77</v>
      </c>
    </row>
    <row r="5" spans="1:28" ht="18.75">
      <c r="B5" s="8" t="s">
        <v>78</v>
      </c>
    </row>
    <row r="6" spans="1:28" ht="18" customHeight="1">
      <c r="A6" s="4" t="s">
        <v>92</v>
      </c>
      <c r="B6" s="8" t="s">
        <v>79</v>
      </c>
    </row>
    <row r="7" spans="1:28" ht="13.5" customHeight="1">
      <c r="A7" s="91" t="s">
        <v>113</v>
      </c>
      <c r="B7" s="8"/>
    </row>
    <row r="8" spans="1:28" ht="11.25" customHeight="1"/>
    <row r="9" spans="1:28">
      <c r="A9" s="4" t="s">
        <v>118</v>
      </c>
      <c r="D9" s="5" t="s">
        <v>120</v>
      </c>
      <c r="L9" s="5" t="s">
        <v>119</v>
      </c>
    </row>
    <row r="11" spans="1:28">
      <c r="A11" s="5" t="s">
        <v>112</v>
      </c>
      <c r="B11" s="115"/>
      <c r="J11" s="5" t="s">
        <v>115</v>
      </c>
      <c r="U11" s="5" t="s">
        <v>116</v>
      </c>
    </row>
    <row r="12" spans="1:28" ht="12.75" customHeight="1"/>
    <row r="13" spans="1:28">
      <c r="A13" s="4" t="s">
        <v>121</v>
      </c>
      <c r="K13" s="5" t="s">
        <v>122</v>
      </c>
    </row>
    <row r="14" spans="1:28" ht="12.75" customHeight="1"/>
    <row r="15" spans="1:28">
      <c r="A15" s="4" t="s">
        <v>117</v>
      </c>
      <c r="E15" s="116">
        <v>46348</v>
      </c>
      <c r="F15" s="116"/>
      <c r="G15" s="116"/>
      <c r="H15" s="116"/>
      <c r="I15" s="5" t="s">
        <v>123</v>
      </c>
      <c r="O15" s="117">
        <v>46349</v>
      </c>
      <c r="P15" s="117"/>
      <c r="Q15" s="117"/>
    </row>
    <row r="17" spans="1:28" s="10" customFormat="1">
      <c r="A17" s="9" t="s">
        <v>89</v>
      </c>
      <c r="D17" s="10" t="s">
        <v>0</v>
      </c>
      <c r="K17" s="10" t="s">
        <v>1</v>
      </c>
      <c r="R17" s="10" t="s">
        <v>2</v>
      </c>
      <c r="Y17" s="10" t="s">
        <v>3</v>
      </c>
      <c r="AB17" s="11"/>
    </row>
    <row r="18" spans="1:28" s="13" customFormat="1" ht="21">
      <c r="A18" s="12" t="s">
        <v>88</v>
      </c>
      <c r="B18" s="13">
        <v>0</v>
      </c>
      <c r="C18" s="13">
        <v>1</v>
      </c>
      <c r="D18" s="13">
        <v>2</v>
      </c>
      <c r="F18" s="13">
        <v>3</v>
      </c>
      <c r="G18" s="13">
        <v>4</v>
      </c>
      <c r="H18" s="13">
        <v>5</v>
      </c>
      <c r="I18" s="13">
        <v>6</v>
      </c>
      <c r="J18" s="13">
        <v>7</v>
      </c>
      <c r="K18" s="13">
        <v>8</v>
      </c>
      <c r="L18" s="13">
        <v>9</v>
      </c>
      <c r="M18" s="13">
        <v>10</v>
      </c>
      <c r="N18" s="13">
        <v>11</v>
      </c>
      <c r="O18" s="13">
        <v>12</v>
      </c>
      <c r="P18" s="13">
        <v>1</v>
      </c>
      <c r="Q18" s="13">
        <v>2</v>
      </c>
      <c r="R18" s="13">
        <v>3</v>
      </c>
      <c r="S18" s="13">
        <v>4</v>
      </c>
      <c r="T18" s="13">
        <v>5</v>
      </c>
      <c r="U18" s="13">
        <v>6</v>
      </c>
      <c r="V18" s="13">
        <v>7</v>
      </c>
      <c r="W18" s="13">
        <v>8</v>
      </c>
      <c r="X18" s="13">
        <v>9</v>
      </c>
      <c r="Y18" s="14">
        <v>10</v>
      </c>
      <c r="Z18" s="13">
        <v>11</v>
      </c>
      <c r="AA18" s="13">
        <v>12</v>
      </c>
      <c r="AB18" s="15"/>
    </row>
    <row r="19" spans="1:28">
      <c r="A19" s="4" t="s">
        <v>4</v>
      </c>
      <c r="B19" s="5" t="s">
        <v>5</v>
      </c>
    </row>
    <row r="20" spans="1:28">
      <c r="A20" s="4" t="s">
        <v>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8">
      <c r="A21" s="4" t="s">
        <v>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8">
      <c r="A22" s="4" t="s">
        <v>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8">
      <c r="A23" s="4" t="s">
        <v>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8">
      <c r="A24" s="4" t="s">
        <v>10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8">
      <c r="A25" s="4" t="s">
        <v>11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8">
      <c r="A26" s="4" t="s">
        <v>12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8">
      <c r="A27" s="4" t="s">
        <v>13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8">
      <c r="A28" s="4" t="s">
        <v>14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8" s="13" customFormat="1" ht="21">
      <c r="A29" s="12"/>
      <c r="B29" s="13">
        <v>0</v>
      </c>
      <c r="C29" s="13">
        <v>1</v>
      </c>
      <c r="D29" s="13">
        <v>2</v>
      </c>
      <c r="F29" s="13">
        <v>3</v>
      </c>
      <c r="G29" s="13">
        <v>4</v>
      </c>
      <c r="H29" s="13">
        <v>5</v>
      </c>
      <c r="I29" s="13">
        <v>6</v>
      </c>
      <c r="J29" s="13">
        <v>7</v>
      </c>
      <c r="K29" s="13">
        <v>8</v>
      </c>
      <c r="L29" s="13">
        <v>9</v>
      </c>
      <c r="M29" s="13">
        <v>10</v>
      </c>
      <c r="N29" s="13">
        <v>11</v>
      </c>
      <c r="O29" s="13">
        <v>12</v>
      </c>
      <c r="P29" s="13">
        <v>1</v>
      </c>
      <c r="Q29" s="13">
        <v>2</v>
      </c>
      <c r="R29" s="13">
        <v>3</v>
      </c>
      <c r="S29" s="13">
        <v>4</v>
      </c>
      <c r="T29" s="13">
        <v>5</v>
      </c>
      <c r="U29" s="13">
        <v>6</v>
      </c>
      <c r="V29" s="13">
        <v>7</v>
      </c>
      <c r="W29" s="13">
        <v>8</v>
      </c>
      <c r="X29" s="13">
        <v>9</v>
      </c>
      <c r="Y29" s="13">
        <v>10</v>
      </c>
      <c r="Z29" s="13">
        <v>11</v>
      </c>
      <c r="AA29" s="13">
        <v>12</v>
      </c>
      <c r="AB29" s="15"/>
    </row>
    <row r="30" spans="1:28">
      <c r="B30" s="5" t="s">
        <v>15</v>
      </c>
    </row>
    <row r="31" spans="1:28">
      <c r="B31" s="5" t="s">
        <v>16</v>
      </c>
      <c r="T31" s="5" t="s">
        <v>17</v>
      </c>
    </row>
    <row r="33" spans="1:28">
      <c r="A33" s="4" t="s">
        <v>18</v>
      </c>
      <c r="D33" s="5">
        <f>L7</f>
        <v>0</v>
      </c>
      <c r="P33" s="5" t="s">
        <v>19</v>
      </c>
      <c r="S33" s="5" t="s">
        <v>90</v>
      </c>
    </row>
    <row r="34" spans="1:28" s="18" customFormat="1">
      <c r="A34" s="17"/>
      <c r="AB34" s="19"/>
    </row>
  </sheetData>
  <mergeCells count="2">
    <mergeCell ref="E15:H15"/>
    <mergeCell ref="O15:Q15"/>
  </mergeCells>
  <pageMargins left="1.3385826771653544" right="0.39370078740157483" top="0.55118110236220474" bottom="0.59055118110236227" header="0.31496062992125984" footer="0.31496062992125984"/>
  <pageSetup scale="9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0"/>
  <sheetViews>
    <sheetView tabSelected="1" view="pageBreakPreview" zoomScaleNormal="100" zoomScaleSheetLayoutView="100" workbookViewId="0">
      <selection activeCell="G6" sqref="G6"/>
    </sheetView>
  </sheetViews>
  <sheetFormatPr defaultColWidth="9.140625" defaultRowHeight="15"/>
  <cols>
    <col min="1" max="1" width="16.7109375" style="21" customWidth="1"/>
    <col min="2" max="2" width="16.140625" style="21" customWidth="1"/>
    <col min="3" max="3" width="16.42578125" style="21" customWidth="1"/>
    <col min="4" max="4" width="19.42578125" style="21" customWidth="1"/>
    <col min="5" max="5" width="20.7109375" style="21" customWidth="1"/>
    <col min="6" max="6" width="23" style="21" customWidth="1"/>
    <col min="7" max="7" width="3.42578125" style="21" customWidth="1"/>
    <col min="8" max="8" width="18.85546875" style="21" customWidth="1"/>
    <col min="9" max="9" width="21.140625" style="21" customWidth="1"/>
    <col min="10" max="10" width="26.42578125" style="21" customWidth="1"/>
    <col min="11" max="11" width="9.140625" style="21"/>
    <col min="12" max="12" width="38.85546875" style="21" customWidth="1"/>
    <col min="13" max="16384" width="9.140625" style="21"/>
  </cols>
  <sheetData>
    <row r="1" spans="1:12" ht="23.25">
      <c r="A1" s="118"/>
      <c r="B1" s="118"/>
      <c r="C1" s="119" t="s">
        <v>82</v>
      </c>
      <c r="D1" s="119"/>
      <c r="E1" s="119"/>
      <c r="F1" s="119"/>
      <c r="G1" s="119"/>
      <c r="H1" s="119"/>
      <c r="I1" s="119"/>
      <c r="J1" s="20" t="s">
        <v>20</v>
      </c>
    </row>
    <row r="2" spans="1:12" ht="15.75" thickBot="1">
      <c r="A2" s="118"/>
      <c r="B2" s="118"/>
      <c r="C2" s="93"/>
      <c r="F2" s="94" t="s">
        <v>80</v>
      </c>
      <c r="J2" s="120"/>
    </row>
    <row r="3" spans="1:12" ht="15.75" thickBot="1">
      <c r="A3" s="118"/>
      <c r="B3" s="118"/>
      <c r="D3" s="94" t="s">
        <v>97</v>
      </c>
      <c r="J3" s="120"/>
      <c r="L3"/>
    </row>
    <row r="4" spans="1:12" ht="15.75" thickBot="1">
      <c r="A4" s="118"/>
      <c r="B4" s="118"/>
      <c r="C4" s="22"/>
    </row>
    <row r="5" spans="1:12">
      <c r="A5" s="96" t="s">
        <v>21</v>
      </c>
      <c r="B5" s="23"/>
      <c r="C5" s="23"/>
      <c r="D5" s="23"/>
      <c r="E5" s="23" t="s">
        <v>85</v>
      </c>
      <c r="F5" s="23"/>
      <c r="G5" s="23"/>
      <c r="H5" s="105"/>
      <c r="I5" s="24"/>
      <c r="J5" s="25"/>
      <c r="L5"/>
    </row>
    <row r="6" spans="1:12">
      <c r="A6" s="26" t="s">
        <v>22</v>
      </c>
      <c r="B6" s="27"/>
      <c r="C6" s="27"/>
      <c r="D6" s="27"/>
      <c r="E6" s="28"/>
      <c r="F6" s="27" t="s">
        <v>84</v>
      </c>
      <c r="G6" s="27"/>
      <c r="H6" s="27"/>
      <c r="I6" s="27"/>
      <c r="J6" s="28"/>
    </row>
    <row r="7" spans="1:12">
      <c r="A7" s="26" t="s">
        <v>23</v>
      </c>
      <c r="B7" s="27" t="s">
        <v>93</v>
      </c>
      <c r="C7" s="31"/>
      <c r="D7"/>
      <c r="E7" s="5"/>
      <c r="F7" s="5"/>
      <c r="H7" s="31"/>
      <c r="I7"/>
      <c r="J7" s="5"/>
      <c r="K7" s="5"/>
    </row>
    <row r="8" spans="1:12" ht="15.75" customHeight="1">
      <c r="A8" s="29" t="s">
        <v>86</v>
      </c>
      <c r="B8" s="30" t="s">
        <v>80</v>
      </c>
      <c r="C8" s="98"/>
      <c r="D8"/>
      <c r="E8" s="5"/>
      <c r="F8" s="5"/>
      <c r="H8" s="98"/>
      <c r="I8" s="103"/>
      <c r="J8" s="5"/>
      <c r="K8" s="5"/>
      <c r="L8" s="5"/>
    </row>
    <row r="9" spans="1:12">
      <c r="A9" s="29" t="s">
        <v>24</v>
      </c>
      <c r="B9" s="30" t="s">
        <v>94</v>
      </c>
      <c r="C9" s="31"/>
      <c r="D9"/>
      <c r="E9" s="5"/>
      <c r="F9" s="5"/>
      <c r="G9" s="31"/>
      <c r="H9" s="31"/>
      <c r="I9"/>
      <c r="J9" s="5"/>
      <c r="K9"/>
      <c r="L9" s="5"/>
    </row>
    <row r="10" spans="1:12">
      <c r="A10" s="32"/>
      <c r="B10" s="21" t="s">
        <v>95</v>
      </c>
      <c r="C10" s="31"/>
      <c r="D10"/>
      <c r="E10" s="5"/>
      <c r="F10" s="5"/>
      <c r="G10" s="31"/>
      <c r="H10" s="31"/>
      <c r="I10"/>
      <c r="J10" s="5"/>
      <c r="K10" s="5"/>
      <c r="L10" s="5"/>
    </row>
    <row r="11" spans="1:12" ht="15.75" thickBot="1">
      <c r="A11" s="32"/>
      <c r="B11" s="21" t="s">
        <v>96</v>
      </c>
      <c r="C11" s="31"/>
      <c r="D11"/>
      <c r="E11" s="5"/>
      <c r="F11" s="5"/>
      <c r="G11" s="31" t="s">
        <v>114</v>
      </c>
      <c r="H11" s="31"/>
      <c r="I11"/>
      <c r="J11" s="5"/>
      <c r="K11" s="5"/>
      <c r="L11" s="5"/>
    </row>
    <row r="12" spans="1:12" ht="15.75" thickBot="1">
      <c r="A12" s="121" t="s">
        <v>25</v>
      </c>
      <c r="B12" s="121"/>
      <c r="C12" s="122" t="s">
        <v>26</v>
      </c>
      <c r="D12" s="122"/>
      <c r="E12" s="122"/>
      <c r="F12" s="122" t="s">
        <v>27</v>
      </c>
      <c r="G12" s="121"/>
      <c r="H12" s="121"/>
      <c r="I12" s="122" t="s">
        <v>28</v>
      </c>
      <c r="J12" s="122" t="s">
        <v>29</v>
      </c>
    </row>
    <row r="13" spans="1:12" ht="12" customHeight="1" thickBot="1">
      <c r="A13" s="33" t="s">
        <v>30</v>
      </c>
      <c r="B13" s="34" t="s">
        <v>31</v>
      </c>
      <c r="C13" s="122"/>
      <c r="D13" s="122"/>
      <c r="E13" s="122"/>
      <c r="F13" s="122"/>
      <c r="G13" s="34" t="s">
        <v>32</v>
      </c>
      <c r="H13" s="35" t="s">
        <v>33</v>
      </c>
      <c r="I13" s="122"/>
      <c r="J13" s="122"/>
    </row>
    <row r="14" spans="1:12">
      <c r="A14" s="36"/>
      <c r="B14" s="36"/>
      <c r="C14" s="37" t="s">
        <v>87</v>
      </c>
      <c r="D14" s="38"/>
      <c r="E14" s="39"/>
      <c r="F14" s="36"/>
      <c r="G14" s="36"/>
      <c r="H14" s="37"/>
      <c r="I14" s="40" t="s">
        <v>34</v>
      </c>
      <c r="J14" s="41">
        <v>1</v>
      </c>
    </row>
    <row r="15" spans="1:12">
      <c r="A15" s="42"/>
      <c r="B15" s="43"/>
      <c r="C15" s="44" t="s">
        <v>91</v>
      </c>
      <c r="D15" s="95"/>
      <c r="E15" s="45"/>
      <c r="F15" s="46"/>
      <c r="G15" s="47"/>
      <c r="H15" s="32"/>
      <c r="I15" s="48" t="s">
        <v>35</v>
      </c>
      <c r="J15" s="48"/>
    </row>
    <row r="16" spans="1:12">
      <c r="A16" s="49"/>
      <c r="B16" s="42"/>
      <c r="C16" s="99"/>
      <c r="D16" s="100"/>
      <c r="E16" s="45"/>
      <c r="F16" s="92"/>
      <c r="G16" s="50"/>
      <c r="H16" s="32"/>
      <c r="I16" s="48" t="s">
        <v>36</v>
      </c>
      <c r="J16" s="48"/>
    </row>
    <row r="17" spans="1:10">
      <c r="A17" s="101"/>
      <c r="C17" s="106"/>
      <c r="E17" s="45"/>
      <c r="F17" s="113"/>
      <c r="G17" s="50"/>
      <c r="H17" s="32"/>
      <c r="I17" s="48" t="s">
        <v>37</v>
      </c>
      <c r="J17" s="48"/>
    </row>
    <row r="18" spans="1:10">
      <c r="A18" s="49"/>
      <c r="B18" s="42"/>
      <c r="C18" s="51"/>
      <c r="E18" s="45"/>
      <c r="F18" s="114"/>
      <c r="G18" s="50"/>
      <c r="H18" s="32"/>
      <c r="I18" s="48" t="s">
        <v>38</v>
      </c>
      <c r="J18" s="48"/>
    </row>
    <row r="19" spans="1:10" ht="12.75" customHeight="1">
      <c r="A19" s="42"/>
      <c r="B19" s="42"/>
      <c r="C19" s="51" t="s">
        <v>100</v>
      </c>
      <c r="E19" s="45"/>
      <c r="F19" s="114"/>
      <c r="G19" s="50"/>
      <c r="H19" s="32"/>
      <c r="I19" s="48" t="s">
        <v>39</v>
      </c>
      <c r="J19" s="48"/>
    </row>
    <row r="20" spans="1:10">
      <c r="A20" s="50"/>
      <c r="B20" s="50"/>
      <c r="C20" s="102"/>
      <c r="E20" s="45"/>
      <c r="F20" s="50"/>
      <c r="G20" s="50"/>
      <c r="H20" s="32"/>
      <c r="I20" s="52" t="s">
        <v>40</v>
      </c>
      <c r="J20" s="48"/>
    </row>
    <row r="21" spans="1:10" ht="15.75" thickBot="1">
      <c r="A21" s="49"/>
      <c r="B21" s="50"/>
      <c r="C21" s="104"/>
      <c r="E21" s="45"/>
      <c r="F21" s="50"/>
      <c r="G21" s="50"/>
      <c r="H21" s="32"/>
      <c r="I21" s="48" t="s">
        <v>41</v>
      </c>
      <c r="J21" s="48"/>
    </row>
    <row r="22" spans="1:10">
      <c r="A22" s="37" t="s">
        <v>42</v>
      </c>
      <c r="B22" s="38"/>
      <c r="C22" s="38"/>
      <c r="D22" s="53"/>
      <c r="E22" s="38" t="s">
        <v>43</v>
      </c>
      <c r="F22" s="38"/>
      <c r="G22" s="38"/>
      <c r="H22" s="39"/>
      <c r="J22" s="40"/>
    </row>
    <row r="23" spans="1:10" ht="15.75">
      <c r="A23" s="29" t="s">
        <v>44</v>
      </c>
      <c r="B23" s="30"/>
      <c r="C23" s="54">
        <f>'BITACORA DE SUEÑO'!D33</f>
        <v>0</v>
      </c>
      <c r="D23" s="28"/>
      <c r="E23" s="30" t="s">
        <v>45</v>
      </c>
      <c r="F23" s="97">
        <f>'BITACORA DE SUEÑO'!B11</f>
        <v>0</v>
      </c>
      <c r="G23" s="30"/>
      <c r="H23" s="55"/>
      <c r="I23" s="56" t="s">
        <v>46</v>
      </c>
      <c r="J23" s="57">
        <v>1</v>
      </c>
    </row>
    <row r="24" spans="1:10" ht="15.75" thickBot="1">
      <c r="A24" s="58" t="s">
        <v>47</v>
      </c>
      <c r="B24" s="59"/>
      <c r="C24" s="59" t="s">
        <v>48</v>
      </c>
      <c r="D24" s="59"/>
      <c r="E24" s="59"/>
      <c r="F24" s="59"/>
      <c r="G24" s="59"/>
      <c r="H24" s="60"/>
      <c r="I24" s="56" t="s">
        <v>49</v>
      </c>
      <c r="J24" s="57">
        <v>0.16</v>
      </c>
    </row>
    <row r="25" spans="1:10" ht="15.75" thickBot="1">
      <c r="A25" s="123"/>
      <c r="B25" s="123"/>
      <c r="C25" s="37" t="s">
        <v>50</v>
      </c>
      <c r="D25" s="38"/>
      <c r="E25" s="38"/>
      <c r="F25" s="38"/>
      <c r="G25" s="38"/>
      <c r="H25" s="39"/>
      <c r="I25" s="56" t="s">
        <v>51</v>
      </c>
      <c r="J25" s="57">
        <v>0.04</v>
      </c>
    </row>
    <row r="26" spans="1:10" ht="15.75" thickBot="1">
      <c r="A26" s="123"/>
      <c r="B26" s="123"/>
      <c r="C26" s="32"/>
      <c r="D26" s="21" t="s">
        <v>52</v>
      </c>
      <c r="H26" s="45"/>
      <c r="I26" s="56" t="s">
        <v>53</v>
      </c>
      <c r="J26" s="57">
        <v>1.1200000000000001</v>
      </c>
    </row>
    <row r="27" spans="1:10" ht="15.75" thickBot="1">
      <c r="A27" s="123"/>
      <c r="B27" s="123"/>
      <c r="C27" s="124" t="s">
        <v>54</v>
      </c>
      <c r="D27" s="124"/>
      <c r="E27" s="61"/>
      <c r="F27" s="53"/>
      <c r="G27" s="125" t="s">
        <v>55</v>
      </c>
      <c r="H27" s="125"/>
      <c r="I27" s="125"/>
      <c r="J27" s="62" t="s">
        <v>56</v>
      </c>
    </row>
    <row r="28" spans="1:10" ht="15.75" thickBot="1">
      <c r="A28" s="123"/>
      <c r="B28" s="123"/>
      <c r="C28" s="29"/>
      <c r="D28" s="28"/>
      <c r="E28" s="63"/>
      <c r="F28" s="64"/>
      <c r="G28" s="63"/>
      <c r="I28" s="64"/>
      <c r="J28" s="65"/>
    </row>
    <row r="29" spans="1:10" ht="11.25" customHeight="1" thickBot="1">
      <c r="A29" s="123"/>
      <c r="B29" s="123"/>
      <c r="C29" s="126" t="s">
        <v>57</v>
      </c>
      <c r="D29" s="126"/>
      <c r="E29" s="127"/>
      <c r="F29" s="127"/>
      <c r="G29" s="63"/>
      <c r="I29" s="64"/>
      <c r="J29" s="66"/>
    </row>
    <row r="30" spans="1:10" ht="13.5" customHeight="1">
      <c r="A30" s="123"/>
      <c r="B30" s="123"/>
      <c r="C30" s="32"/>
      <c r="D30" s="64"/>
      <c r="E30" s="127" t="s">
        <v>58</v>
      </c>
      <c r="F30" s="127"/>
      <c r="G30" s="128" t="s">
        <v>59</v>
      </c>
      <c r="H30" s="128"/>
      <c r="I30" s="128"/>
      <c r="J30" s="67" t="s">
        <v>60</v>
      </c>
    </row>
    <row r="31" spans="1:10">
      <c r="A31" s="68" t="s">
        <v>83</v>
      </c>
      <c r="B31" s="69"/>
      <c r="C31" s="69"/>
      <c r="D31" s="69"/>
      <c r="E31" s="69"/>
      <c r="F31" s="69"/>
      <c r="G31" s="69"/>
      <c r="H31" s="69"/>
      <c r="I31" s="69"/>
      <c r="J31" s="70"/>
    </row>
    <row r="32" spans="1:10">
      <c r="A32" s="71" t="s">
        <v>61</v>
      </c>
      <c r="J32" s="64"/>
    </row>
    <row r="33" spans="1:10">
      <c r="A33" s="71" t="s">
        <v>62</v>
      </c>
      <c r="J33" s="64"/>
    </row>
    <row r="34" spans="1:10">
      <c r="A34" s="72" t="s">
        <v>63</v>
      </c>
      <c r="B34" s="30"/>
      <c r="C34" s="30"/>
      <c r="D34" s="30"/>
      <c r="E34" s="30"/>
      <c r="F34" s="30"/>
      <c r="G34" s="30"/>
      <c r="H34" s="30"/>
      <c r="I34" s="30"/>
      <c r="J34" s="73" t="s">
        <v>55</v>
      </c>
    </row>
    <row r="35" spans="1:10">
      <c r="A35" s="100"/>
      <c r="B35" s="100"/>
      <c r="C35" s="100"/>
      <c r="D35" s="100"/>
      <c r="E35" s="100"/>
      <c r="F35" s="100"/>
      <c r="G35" s="100"/>
      <c r="H35" s="100"/>
      <c r="I35" s="100"/>
      <c r="J35" s="100"/>
    </row>
    <row r="36" spans="1:10">
      <c r="A36" s="107" t="s">
        <v>101</v>
      </c>
      <c r="B36" s="107" t="s">
        <v>102</v>
      </c>
      <c r="C36" s="107" t="s">
        <v>103</v>
      </c>
      <c r="D36" s="107" t="s">
        <v>104</v>
      </c>
      <c r="E36" s="107" t="s">
        <v>105</v>
      </c>
      <c r="F36" s="107" t="s">
        <v>106</v>
      </c>
      <c r="G36" s="107"/>
      <c r="H36" s="107" t="s">
        <v>107</v>
      </c>
      <c r="I36" s="107" t="s">
        <v>108</v>
      </c>
      <c r="J36" s="107" t="s">
        <v>109</v>
      </c>
    </row>
    <row r="37" spans="1:10">
      <c r="A37" s="109"/>
      <c r="B37" s="109"/>
      <c r="C37" s="109"/>
      <c r="D37" s="109"/>
      <c r="E37" s="109"/>
      <c r="F37" s="109"/>
      <c r="G37" s="109"/>
      <c r="H37" s="109"/>
      <c r="I37" s="109"/>
      <c r="J37" s="109"/>
    </row>
    <row r="38" spans="1:10" ht="15.75" thickBot="1">
      <c r="A38" s="110"/>
      <c r="B38" s="110"/>
      <c r="C38" s="109"/>
      <c r="D38" s="109"/>
      <c r="E38" s="109"/>
      <c r="F38" s="109"/>
      <c r="G38" s="109"/>
      <c r="H38" s="109"/>
      <c r="I38" s="109"/>
      <c r="J38" s="109"/>
    </row>
    <row r="39" spans="1:10" ht="15.75" thickBot="1">
      <c r="A39" s="111" t="s">
        <v>110</v>
      </c>
      <c r="B39" s="112"/>
      <c r="D39" s="100"/>
    </row>
    <row r="40" spans="1:10" ht="15.75" thickBot="1">
      <c r="A40" s="111" t="s">
        <v>111</v>
      </c>
      <c r="B40" s="112"/>
    </row>
    <row r="49" spans="5:5" ht="15.75" thickBot="1"/>
    <row r="50" spans="5:5" ht="15.75" thickBot="1">
      <c r="E50" s="108"/>
    </row>
  </sheetData>
  <mergeCells count="16">
    <mergeCell ref="A25:B30"/>
    <mergeCell ref="C27:D27"/>
    <mergeCell ref="G27:I27"/>
    <mergeCell ref="C29:D29"/>
    <mergeCell ref="E29:F29"/>
    <mergeCell ref="E30:F30"/>
    <mergeCell ref="G30:I30"/>
    <mergeCell ref="A1:B4"/>
    <mergeCell ref="C1:I1"/>
    <mergeCell ref="J2:J3"/>
    <mergeCell ref="A12:B12"/>
    <mergeCell ref="C12:E13"/>
    <mergeCell ref="F12:F13"/>
    <mergeCell ref="G12:H12"/>
    <mergeCell ref="I12:I13"/>
    <mergeCell ref="J12:J13"/>
  </mergeCells>
  <phoneticPr fontId="25" type="noConversion"/>
  <pageMargins left="0.9055118110236221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1"/>
  <sheetViews>
    <sheetView workbookViewId="0">
      <selection activeCell="B4" sqref="B4:G4"/>
    </sheetView>
  </sheetViews>
  <sheetFormatPr defaultColWidth="11.42578125" defaultRowHeight="15"/>
  <cols>
    <col min="1" max="4" width="11.42578125" style="74"/>
    <col min="5" max="5" width="8.28515625" style="74" customWidth="1"/>
    <col min="6" max="6" width="11.42578125" style="74"/>
    <col min="7" max="7" width="10.85546875" style="74" customWidth="1"/>
    <col min="8" max="8" width="18.7109375" style="74" customWidth="1"/>
    <col min="9" max="9" width="10.7109375" style="74" customWidth="1"/>
    <col min="10" max="10" width="11.42578125" style="74"/>
    <col min="11" max="11" width="12.7109375" style="74" customWidth="1"/>
    <col min="12" max="12" width="4.85546875" style="74" customWidth="1"/>
    <col min="13" max="16384" width="11.42578125" style="74"/>
  </cols>
  <sheetData>
    <row r="1" spans="1:12" ht="15.75">
      <c r="A1" s="135" t="s">
        <v>64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7"/>
    </row>
    <row r="2" spans="1:12" ht="21" customHeight="1">
      <c r="A2" s="75" t="s">
        <v>65</v>
      </c>
      <c r="B2" s="138">
        <f ca="1">TODAY()</f>
        <v>46198</v>
      </c>
      <c r="C2" s="139"/>
      <c r="D2" s="139"/>
      <c r="E2" s="139"/>
      <c r="F2" s="139"/>
      <c r="G2" s="140"/>
      <c r="H2" s="76" t="s">
        <v>66</v>
      </c>
      <c r="I2" s="141">
        <f>'CTA PORT FRABA CONTAINER'!F23</f>
        <v>0</v>
      </c>
      <c r="J2" s="141"/>
      <c r="K2" s="141"/>
      <c r="L2" s="142"/>
    </row>
    <row r="3" spans="1:12" ht="21" customHeight="1">
      <c r="A3" s="75" t="s">
        <v>67</v>
      </c>
      <c r="B3" s="143">
        <f>'CTA PORT FRABA CONTAINER'!C23</f>
        <v>0</v>
      </c>
      <c r="C3" s="141"/>
      <c r="D3" s="141"/>
      <c r="E3" s="141"/>
      <c r="F3" s="141"/>
      <c r="G3" s="144"/>
      <c r="H3" s="76" t="s">
        <v>27</v>
      </c>
      <c r="I3" s="145">
        <f>SUM('CTA PORT FRABA CONTAINER'!F17:F19)</f>
        <v>0</v>
      </c>
      <c r="J3" s="145"/>
      <c r="K3" s="145"/>
      <c r="L3" s="146"/>
    </row>
    <row r="4" spans="1:12" ht="21" customHeight="1" thickBot="1">
      <c r="A4" s="77" t="s">
        <v>68</v>
      </c>
      <c r="B4" s="129">
        <f>'CTA PORT FRABA CONTAINER'!G6</f>
        <v>0</v>
      </c>
      <c r="C4" s="130"/>
      <c r="D4" s="130"/>
      <c r="E4" s="130"/>
      <c r="F4" s="130"/>
      <c r="G4" s="131"/>
      <c r="H4" s="78" t="s">
        <v>99</v>
      </c>
      <c r="I4" s="132">
        <v>2500</v>
      </c>
      <c r="J4" s="133"/>
      <c r="K4" s="133"/>
      <c r="L4" s="134"/>
    </row>
    <row r="5" spans="1:12" ht="21" customHeight="1">
      <c r="A5" s="147" t="s">
        <v>69</v>
      </c>
      <c r="B5" s="148"/>
      <c r="C5" s="148"/>
      <c r="D5" s="148"/>
      <c r="E5" s="148"/>
      <c r="F5" s="149" t="s">
        <v>70</v>
      </c>
      <c r="G5" s="150"/>
      <c r="H5" s="150"/>
      <c r="I5" s="151" t="s">
        <v>71</v>
      </c>
      <c r="J5" s="150"/>
      <c r="K5" s="152"/>
      <c r="L5" s="153"/>
    </row>
    <row r="6" spans="1:12" ht="21" customHeight="1" thickBot="1">
      <c r="A6" s="79" t="s">
        <v>29</v>
      </c>
      <c r="B6" s="80" t="s">
        <v>72</v>
      </c>
      <c r="C6" s="154" t="s">
        <v>73</v>
      </c>
      <c r="D6" s="155"/>
      <c r="E6" s="156"/>
      <c r="F6" s="81" t="s">
        <v>29</v>
      </c>
      <c r="G6" s="157" t="s">
        <v>73</v>
      </c>
      <c r="H6" s="157"/>
      <c r="I6" s="81" t="s">
        <v>29</v>
      </c>
      <c r="J6" s="157" t="s">
        <v>28</v>
      </c>
      <c r="K6" s="154"/>
      <c r="L6" s="158"/>
    </row>
    <row r="7" spans="1:12" ht="27.75" customHeight="1">
      <c r="A7" s="82"/>
      <c r="B7" s="83"/>
      <c r="C7" s="159"/>
      <c r="D7" s="160"/>
      <c r="E7" s="161"/>
      <c r="F7" s="84"/>
      <c r="G7" s="162"/>
      <c r="H7" s="163"/>
      <c r="I7" s="85"/>
      <c r="J7" s="159"/>
      <c r="K7" s="160"/>
      <c r="L7" s="161"/>
    </row>
    <row r="8" spans="1:12" ht="27.75" customHeight="1">
      <c r="A8" s="86"/>
      <c r="B8" s="87"/>
      <c r="C8" s="162"/>
      <c r="D8" s="164"/>
      <c r="E8" s="163"/>
      <c r="F8" s="86"/>
      <c r="G8" s="162"/>
      <c r="H8" s="163"/>
      <c r="I8" s="88"/>
      <c r="J8" s="162"/>
      <c r="K8" s="164"/>
      <c r="L8" s="163"/>
    </row>
    <row r="9" spans="1:12" ht="27.75" customHeight="1">
      <c r="A9" s="86"/>
      <c r="B9" s="87"/>
      <c r="C9" s="162"/>
      <c r="D9" s="164"/>
      <c r="E9" s="163"/>
      <c r="F9" s="86"/>
      <c r="G9" s="162"/>
      <c r="H9" s="163"/>
      <c r="I9" s="88"/>
      <c r="J9" s="162"/>
      <c r="K9" s="164"/>
      <c r="L9" s="163"/>
    </row>
    <row r="10" spans="1:12" ht="27.75" customHeight="1">
      <c r="A10" s="86"/>
      <c r="B10" s="87"/>
      <c r="C10" s="162"/>
      <c r="D10" s="164"/>
      <c r="E10" s="163"/>
      <c r="F10" s="86"/>
      <c r="G10" s="162"/>
      <c r="H10" s="163"/>
      <c r="I10" s="88"/>
      <c r="J10" s="162"/>
      <c r="K10" s="164"/>
      <c r="L10" s="163"/>
    </row>
    <row r="11" spans="1:12" ht="27.75" customHeight="1">
      <c r="A11" s="86"/>
      <c r="B11" s="87"/>
      <c r="C11" s="162"/>
      <c r="D11" s="164"/>
      <c r="E11" s="163"/>
      <c r="F11" s="86"/>
      <c r="G11" s="162"/>
      <c r="H11" s="163"/>
      <c r="I11" s="88"/>
      <c r="J11" s="162"/>
      <c r="K11" s="164"/>
      <c r="L11" s="163"/>
    </row>
    <row r="12" spans="1:12" ht="27.75" customHeight="1">
      <c r="A12" s="86"/>
      <c r="B12" s="87"/>
      <c r="C12" s="162"/>
      <c r="D12" s="164"/>
      <c r="E12" s="163"/>
      <c r="F12" s="86"/>
      <c r="G12" s="162"/>
      <c r="H12" s="163"/>
      <c r="I12" s="88"/>
      <c r="J12" s="162"/>
      <c r="K12" s="164"/>
      <c r="L12" s="163"/>
    </row>
    <row r="13" spans="1:12" ht="27.75" customHeight="1">
      <c r="A13" s="86"/>
      <c r="B13" s="87"/>
      <c r="C13" s="162"/>
      <c r="D13" s="164"/>
      <c r="E13" s="163"/>
      <c r="F13" s="86"/>
      <c r="G13" s="162"/>
      <c r="H13" s="163"/>
      <c r="I13" s="88"/>
      <c r="J13" s="162"/>
      <c r="K13" s="164"/>
      <c r="L13" s="163"/>
    </row>
    <row r="14" spans="1:12" ht="27.75" customHeight="1">
      <c r="A14" s="86"/>
      <c r="B14" s="87"/>
      <c r="C14" s="162"/>
      <c r="D14" s="164"/>
      <c r="E14" s="163"/>
      <c r="F14" s="86"/>
      <c r="G14" s="162"/>
      <c r="H14" s="163"/>
      <c r="I14" s="88"/>
      <c r="J14" s="162"/>
      <c r="K14" s="164"/>
      <c r="L14" s="163"/>
    </row>
    <row r="15" spans="1:12" ht="27.75" customHeight="1">
      <c r="A15" s="86"/>
      <c r="B15" s="87"/>
      <c r="C15" s="162"/>
      <c r="D15" s="164"/>
      <c r="E15" s="163"/>
      <c r="F15" s="86"/>
      <c r="G15" s="162"/>
      <c r="H15" s="163"/>
      <c r="I15" s="88"/>
      <c r="J15" s="162"/>
      <c r="K15" s="164"/>
      <c r="L15" s="163"/>
    </row>
    <row r="16" spans="1:12" ht="27.75" customHeight="1">
      <c r="A16" s="86"/>
      <c r="B16" s="87"/>
      <c r="C16" s="162"/>
      <c r="D16" s="164"/>
      <c r="E16" s="163"/>
      <c r="F16" s="86"/>
      <c r="G16" s="162"/>
      <c r="H16" s="163"/>
      <c r="I16" s="88"/>
      <c r="J16" s="162"/>
      <c r="K16" s="164"/>
      <c r="L16" s="163"/>
    </row>
    <row r="17" spans="1:12" ht="27.75" customHeight="1">
      <c r="A17" s="86"/>
      <c r="B17" s="87"/>
      <c r="C17" s="162"/>
      <c r="D17" s="164"/>
      <c r="E17" s="163"/>
      <c r="F17" s="86"/>
      <c r="G17" s="162"/>
      <c r="H17" s="163"/>
      <c r="I17" s="88"/>
      <c r="J17" s="162"/>
      <c r="K17" s="164"/>
      <c r="L17" s="163"/>
    </row>
    <row r="18" spans="1:12" ht="27.75" customHeight="1">
      <c r="A18" s="86"/>
      <c r="B18" s="87"/>
      <c r="C18" s="162"/>
      <c r="D18" s="164"/>
      <c r="E18" s="163"/>
      <c r="F18" s="86"/>
      <c r="G18" s="162"/>
      <c r="H18" s="163"/>
      <c r="I18" s="88"/>
      <c r="J18" s="162"/>
      <c r="K18" s="164"/>
      <c r="L18" s="163"/>
    </row>
    <row r="19" spans="1:12" ht="27.75" customHeight="1">
      <c r="A19" s="86"/>
      <c r="B19" s="87"/>
      <c r="C19" s="162"/>
      <c r="D19" s="164"/>
      <c r="E19" s="163"/>
      <c r="F19" s="86"/>
      <c r="G19" s="162"/>
      <c r="H19" s="163"/>
      <c r="I19" s="88"/>
      <c r="J19" s="162"/>
      <c r="K19" s="164"/>
      <c r="L19" s="163"/>
    </row>
    <row r="20" spans="1:12" ht="27.75" customHeight="1">
      <c r="A20" s="86"/>
      <c r="B20" s="87"/>
      <c r="C20" s="162"/>
      <c r="D20" s="164"/>
      <c r="E20" s="163"/>
      <c r="F20" s="86"/>
      <c r="G20" s="162"/>
      <c r="H20" s="163"/>
      <c r="I20" s="88"/>
      <c r="J20" s="162"/>
      <c r="K20" s="164"/>
      <c r="L20" s="163"/>
    </row>
    <row r="21" spans="1:12" ht="27.75" customHeight="1">
      <c r="A21" s="86"/>
      <c r="B21" s="87"/>
      <c r="C21" s="162"/>
      <c r="D21" s="164"/>
      <c r="E21" s="163"/>
      <c r="F21" s="86"/>
      <c r="G21" s="162"/>
      <c r="H21" s="163"/>
      <c r="I21" s="88"/>
      <c r="J21" s="162"/>
      <c r="K21" s="164"/>
      <c r="L21" s="163"/>
    </row>
    <row r="22" spans="1:12" ht="27.75" customHeight="1" thickBot="1">
      <c r="A22" s="89"/>
      <c r="B22" s="165" t="s">
        <v>74</v>
      </c>
      <c r="C22" s="166"/>
      <c r="D22" s="166"/>
      <c r="E22" s="167"/>
      <c r="F22" s="89"/>
      <c r="G22" s="154" t="s">
        <v>75</v>
      </c>
      <c r="H22" s="156"/>
      <c r="I22" s="90"/>
      <c r="J22" s="154" t="s">
        <v>76</v>
      </c>
      <c r="K22" s="155"/>
      <c r="L22" s="156"/>
    </row>
    <row r="23" spans="1:12" ht="21" customHeight="1"/>
    <row r="24" spans="1:12" ht="21" customHeight="1"/>
    <row r="25" spans="1:12" ht="21" customHeight="1"/>
    <row r="26" spans="1:12" ht="21" customHeight="1"/>
    <row r="27" spans="1:12" ht="21" customHeight="1"/>
    <row r="28" spans="1:12" ht="21" customHeight="1"/>
    <row r="29" spans="1:12" ht="21" customHeight="1"/>
    <row r="30" spans="1:12" ht="21" customHeight="1"/>
    <row r="31" spans="1:12" ht="21" customHeight="1"/>
  </sheetData>
  <mergeCells count="61">
    <mergeCell ref="C21:E21"/>
    <mergeCell ref="G21:H21"/>
    <mergeCell ref="J21:L21"/>
    <mergeCell ref="B22:E22"/>
    <mergeCell ref="G22:H22"/>
    <mergeCell ref="J22:L22"/>
    <mergeCell ref="C19:E19"/>
    <mergeCell ref="G19:H19"/>
    <mergeCell ref="J19:L19"/>
    <mergeCell ref="C20:E20"/>
    <mergeCell ref="G20:H20"/>
    <mergeCell ref="J20:L20"/>
    <mergeCell ref="C17:E17"/>
    <mergeCell ref="G17:H17"/>
    <mergeCell ref="J17:L17"/>
    <mergeCell ref="C18:E18"/>
    <mergeCell ref="G18:H18"/>
    <mergeCell ref="J18:L18"/>
    <mergeCell ref="C15:E15"/>
    <mergeCell ref="G15:H15"/>
    <mergeCell ref="J15:L15"/>
    <mergeCell ref="C16:E16"/>
    <mergeCell ref="G16:H16"/>
    <mergeCell ref="J16:L16"/>
    <mergeCell ref="C13:E13"/>
    <mergeCell ref="G13:H13"/>
    <mergeCell ref="J13:L13"/>
    <mergeCell ref="C14:E14"/>
    <mergeCell ref="G14:H14"/>
    <mergeCell ref="J14:L14"/>
    <mergeCell ref="C11:E11"/>
    <mergeCell ref="G11:H11"/>
    <mergeCell ref="J11:L11"/>
    <mergeCell ref="C12:E12"/>
    <mergeCell ref="G12:H12"/>
    <mergeCell ref="J12:L12"/>
    <mergeCell ref="C9:E9"/>
    <mergeCell ref="G9:H9"/>
    <mergeCell ref="J9:L9"/>
    <mergeCell ref="C10:E10"/>
    <mergeCell ref="G10:H10"/>
    <mergeCell ref="J10:L10"/>
    <mergeCell ref="C7:E7"/>
    <mergeCell ref="G7:H7"/>
    <mergeCell ref="J7:L7"/>
    <mergeCell ref="C8:E8"/>
    <mergeCell ref="G8:H8"/>
    <mergeCell ref="J8:L8"/>
    <mergeCell ref="A5:E5"/>
    <mergeCell ref="F5:H5"/>
    <mergeCell ref="I5:L5"/>
    <mergeCell ref="C6:E6"/>
    <mergeCell ref="G6:H6"/>
    <mergeCell ref="J6:L6"/>
    <mergeCell ref="B4:G4"/>
    <mergeCell ref="I4:L4"/>
    <mergeCell ref="A1:L1"/>
    <mergeCell ref="B2:G2"/>
    <mergeCell ref="I2:L2"/>
    <mergeCell ref="B3:G3"/>
    <mergeCell ref="I3:L3"/>
  </mergeCells>
  <pageMargins left="0.78" right="0.78" top="0.63" bottom="0.49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BITACORA DE SUEÑO</vt:lpstr>
      <vt:lpstr>CTA PORT FRABA CONTAINER</vt:lpstr>
      <vt:lpstr>BITACORA GASTOS</vt:lpstr>
      <vt:lpstr>'CTA PORT FRABA CONTAINER'!Print_Area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</dc:creator>
  <cp:lastModifiedBy>luis hernandez</cp:lastModifiedBy>
  <cp:lastPrinted>2026-06-17T16:20:19Z</cp:lastPrinted>
  <dcterms:created xsi:type="dcterms:W3CDTF">2018-12-11T17:40:28Z</dcterms:created>
  <dcterms:modified xsi:type="dcterms:W3CDTF">2026-06-25T23:53:23Z</dcterms:modified>
</cp:coreProperties>
</file>